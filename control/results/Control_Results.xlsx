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archlinux\home\omarg\VLMs-Medical-Imaging\control\results\"/>
    </mc:Choice>
  </mc:AlternateContent>
  <xr:revisionPtr revIDLastSave="0" documentId="13_ncr:1_{505DC962-7451-4B2F-AA69-5C125EB7B042}" xr6:coauthVersionLast="47" xr6:coauthVersionMax="47" xr10:uidLastSave="{00000000-0000-0000-0000-000000000000}"/>
  <bookViews>
    <workbookView xWindow="-108" yWindow="-108" windowWidth="30936" windowHeight="16776" xr2:uid="{A77A01DF-2D44-4C38-8A9F-C029882A2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5" i="1"/>
  <c r="R16" i="1"/>
  <c r="R17" i="1"/>
  <c r="R18" i="1"/>
  <c r="R12" i="1"/>
  <c r="R19" i="1"/>
  <c r="R20" i="1"/>
  <c r="R21" i="1"/>
  <c r="R50" i="1"/>
  <c r="R51" i="1"/>
  <c r="R49" i="1"/>
  <c r="R30" i="1"/>
  <c r="R31" i="1"/>
  <c r="R29" i="1"/>
  <c r="R10" i="1"/>
  <c r="R11" i="1"/>
  <c r="R9" i="1"/>
  <c r="R3" i="1"/>
  <c r="R4" i="1"/>
  <c r="R5" i="1"/>
  <c r="R6" i="1"/>
  <c r="R7" i="1"/>
  <c r="R8" i="1"/>
  <c r="R22" i="1"/>
  <c r="R23" i="1"/>
  <c r="R24" i="1"/>
  <c r="R25" i="1"/>
  <c r="R26" i="1"/>
  <c r="R27" i="1"/>
  <c r="R28" i="1"/>
  <c r="R42" i="1"/>
  <c r="R43" i="1"/>
  <c r="R44" i="1"/>
  <c r="R45" i="1"/>
  <c r="R46" i="1"/>
  <c r="R47" i="1"/>
  <c r="R48" i="1"/>
  <c r="R2" i="1"/>
</calcChain>
</file>

<file path=xl/sharedStrings.xml><?xml version="1.0" encoding="utf-8"?>
<sst xmlns="http://schemas.openxmlformats.org/spreadsheetml/2006/main" count="96" uniqueCount="30">
  <si>
    <t>Accuracy_Mean</t>
  </si>
  <si>
    <t>Accuracy_Std</t>
  </si>
  <si>
    <t>F1_Mean</t>
  </si>
  <si>
    <t>F1_Std</t>
  </si>
  <si>
    <t>correct_run1</t>
  </si>
  <si>
    <t>correct_run2</t>
  </si>
  <si>
    <t>correct_run3</t>
  </si>
  <si>
    <t>incorrect_run1</t>
  </si>
  <si>
    <t>incorrect_run2</t>
  </si>
  <si>
    <t>incorrect_run3</t>
  </si>
  <si>
    <t>unsure_run1</t>
  </si>
  <si>
    <t>unsure_run2</t>
  </si>
  <si>
    <t>unsure_run3</t>
  </si>
  <si>
    <t>Model</t>
  </si>
  <si>
    <t>Questions</t>
  </si>
  <si>
    <t>RQ3 Dots</t>
  </si>
  <si>
    <t>RQ3 Numbers</t>
  </si>
  <si>
    <t>RQ3 Letters</t>
  </si>
  <si>
    <t>RQ2 Dots</t>
  </si>
  <si>
    <t>RQ2 Letters</t>
  </si>
  <si>
    <t>RQ2 Numbers</t>
  </si>
  <si>
    <t>RQ1</t>
  </si>
  <si>
    <t>AS Numbers</t>
  </si>
  <si>
    <t>AS Letters</t>
  </si>
  <si>
    <t>AS Dots</t>
  </si>
  <si>
    <t>MedGemma 1.5 (Instruct)</t>
  </si>
  <si>
    <t>Rate of Unsure</t>
  </si>
  <si>
    <t>Qwen 3.5 9B (Thinking 4096)</t>
  </si>
  <si>
    <t>Qwen 3.5 9B</t>
  </si>
  <si>
    <t>Qwen 3.5 9B (Thinking 2048)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</si>
</sst>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10" fontId="0" fillId="3" borderId="0" xfId="0" applyNumberFormat="1" applyFill="1" applyAlignment="1">
      <alignment horizontal="center"/>
    </xf>
    <xf numFmtId="10" fontId="1" fillId="3" borderId="0" xfId="1" applyNumberFormat="1" applyFont="1" applyFill="1" applyAlignment="1">
      <alignment horizontal="center"/>
    </xf>
    <xf numFmtId="10" fontId="1" fillId="3" borderId="0" xfId="1" applyNumberFormat="1" applyFont="1" applyFill="1" applyAlignment="1">
      <alignment horizontal="center" vertical="center"/>
    </xf>
    <xf numFmtId="0" fontId="0" fillId="3" borderId="0" xfId="0" applyFill="1"/>
    <xf numFmtId="10" fontId="0" fillId="3" borderId="0" xfId="0" applyNumberFormat="1" applyFill="1" applyAlignment="1">
      <alignment horizontal="center" vertical="center"/>
    </xf>
    <xf numFmtId="10" fontId="0" fillId="3" borderId="0" xfId="1" applyNumberFormat="1" applyFont="1" applyFill="1" applyAlignment="1">
      <alignment horizontal="center"/>
    </xf>
    <xf numFmtId="10" fontId="0" fillId="4" borderId="0" xfId="1" applyNumberFormat="1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0" borderId="0" xfId="0"/>
    <xf numFmtId="10" fontId="1" fillId="4" borderId="0" xfId="1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0" fontId="0" fillId="5" borderId="0" xfId="0" applyFill="1"/>
    <xf numFmtId="10" fontId="0" fillId="5" borderId="0" xfId="1" applyNumberFormat="1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333D-9F66-4DE8-9A2B-1755F063FACE}">
  <dimension ref="A1:R51"/>
  <sheetViews>
    <sheetView tabSelected="1" zoomScale="130" zoomScaleNormal="130" workbookViewId="0">
      <selection activeCell="B39" sqref="B39"/>
    </sheetView>
  </sheetViews>
  <sheetFormatPr defaultRowHeight="14.4" x14ac:dyDescent="0.3"/>
  <cols>
    <col min="1" max="1" width="25.6640625" customWidth="1"/>
    <col min="2" max="2" width="13.88671875" bestFit="1" customWidth="1"/>
    <col min="3" max="3" width="14.88671875" customWidth="1"/>
    <col min="4" max="4" width="12.33203125" bestFit="1" customWidth="1"/>
    <col min="5" max="5" width="12" bestFit="1" customWidth="1"/>
    <col min="7" max="8" width="11.33203125" bestFit="1" customWidth="1"/>
    <col min="9" max="9" width="11.44140625" bestFit="1" customWidth="1"/>
    <col min="10" max="10" width="12.77734375" bestFit="1" customWidth="1"/>
    <col min="11" max="12" width="13.109375" bestFit="1" customWidth="1"/>
    <col min="13" max="13" width="14.88671875" customWidth="1"/>
    <col min="14" max="14" width="13.21875" customWidth="1"/>
    <col min="15" max="15" width="13.109375" customWidth="1"/>
    <col min="16" max="16" width="12.6640625" customWidth="1"/>
    <col min="17" max="17" width="14.5546875" customWidth="1"/>
  </cols>
  <sheetData>
    <row r="1" spans="1:18" x14ac:dyDescent="0.3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2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O1" s="1" t="s">
        <v>10</v>
      </c>
      <c r="P1" s="1" t="s">
        <v>11</v>
      </c>
      <c r="Q1" s="1" t="s">
        <v>12</v>
      </c>
      <c r="R1" s="1" t="s">
        <v>26</v>
      </c>
    </row>
    <row r="2" spans="1:18" x14ac:dyDescent="0.3">
      <c r="A2" s="7" t="s">
        <v>28</v>
      </c>
      <c r="B2" s="8" t="s">
        <v>21</v>
      </c>
      <c r="C2" s="13">
        <v>0.52097854311876501</v>
      </c>
      <c r="D2" s="13">
        <v>7.043046245651218E-3</v>
      </c>
      <c r="E2" s="13">
        <v>0.56467716880642049</v>
      </c>
      <c r="F2" s="13">
        <v>8.3457208436642765E-3</v>
      </c>
      <c r="G2" s="9"/>
      <c r="H2" s="9">
        <v>2581</v>
      </c>
      <c r="I2" s="9">
        <v>2521</v>
      </c>
      <c r="J2" s="9">
        <v>2522</v>
      </c>
      <c r="K2" s="9">
        <v>2297</v>
      </c>
      <c r="L2" s="9">
        <v>2357</v>
      </c>
      <c r="M2" s="9">
        <v>2356</v>
      </c>
      <c r="N2" s="16"/>
      <c r="O2" s="9">
        <v>0</v>
      </c>
      <c r="P2" s="9">
        <v>0</v>
      </c>
      <c r="Q2" s="9">
        <v>3</v>
      </c>
      <c r="R2" s="18">
        <f>AVERAGE(O2:Q2)/4878</f>
        <v>2.0500205002050019E-4</v>
      </c>
    </row>
    <row r="3" spans="1:18" x14ac:dyDescent="0.3">
      <c r="A3" s="7" t="s">
        <v>28</v>
      </c>
      <c r="B3" s="9" t="s">
        <v>18</v>
      </c>
      <c r="C3" s="14">
        <v>0.65265819324859919</v>
      </c>
      <c r="D3" s="14">
        <v>8.9272057344618287E-3</v>
      </c>
      <c r="E3" s="14">
        <v>0.67627905895257767</v>
      </c>
      <c r="F3" s="14">
        <v>7.2052662157933781E-3</v>
      </c>
      <c r="G3" s="9"/>
      <c r="H3" s="9">
        <v>3226</v>
      </c>
      <c r="I3" s="9">
        <v>3139</v>
      </c>
      <c r="J3" s="9">
        <v>3186</v>
      </c>
      <c r="K3" s="9">
        <v>1652</v>
      </c>
      <c r="L3" s="9">
        <v>1739</v>
      </c>
      <c r="M3" s="9">
        <v>1692</v>
      </c>
      <c r="N3" s="16"/>
      <c r="O3" s="9">
        <v>0</v>
      </c>
      <c r="P3" s="9">
        <v>0</v>
      </c>
      <c r="Q3" s="9">
        <v>2</v>
      </c>
      <c r="R3" s="18">
        <f t="shared" ref="R3:R28" si="0">AVERAGE(O3:Q3)/4878</f>
        <v>1.3666803334700013E-4</v>
      </c>
    </row>
    <row r="4" spans="1:18" x14ac:dyDescent="0.3">
      <c r="A4" s="7" t="s">
        <v>28</v>
      </c>
      <c r="B4" s="9" t="s">
        <v>19</v>
      </c>
      <c r="C4" s="14">
        <v>0.59457427907612415</v>
      </c>
      <c r="D4" s="14">
        <v>7.1024655739139533E-3</v>
      </c>
      <c r="E4" s="14">
        <v>0.60029484756332363</v>
      </c>
      <c r="F4" s="14">
        <v>5.7154659083729232E-3</v>
      </c>
      <c r="G4" s="9"/>
      <c r="H4" s="9">
        <v>2864</v>
      </c>
      <c r="I4" s="9">
        <v>2904</v>
      </c>
      <c r="J4" s="9">
        <v>2933</v>
      </c>
      <c r="K4" s="9">
        <v>2014</v>
      </c>
      <c r="L4" s="9">
        <v>1974</v>
      </c>
      <c r="M4" s="9">
        <v>1945</v>
      </c>
      <c r="N4" s="16"/>
      <c r="O4" s="9">
        <v>2</v>
      </c>
      <c r="P4" s="9">
        <v>1</v>
      </c>
      <c r="Q4" s="9">
        <v>1</v>
      </c>
      <c r="R4" s="18">
        <f t="shared" si="0"/>
        <v>2.7333606669400026E-4</v>
      </c>
    </row>
    <row r="5" spans="1:18" x14ac:dyDescent="0.3">
      <c r="A5" s="7" t="s">
        <v>28</v>
      </c>
      <c r="B5" s="9" t="s">
        <v>20</v>
      </c>
      <c r="C5" s="14">
        <v>0.61281946152794864</v>
      </c>
      <c r="D5" s="14">
        <v>7.6932692696444656E-3</v>
      </c>
      <c r="E5" s="14">
        <v>0.61022623515363283</v>
      </c>
      <c r="F5" s="14">
        <v>6.1034535825066497E-3</v>
      </c>
      <c r="G5" s="9"/>
      <c r="H5" s="9">
        <v>2951</v>
      </c>
      <c r="I5" s="9">
        <v>3026</v>
      </c>
      <c r="J5" s="9">
        <v>2991</v>
      </c>
      <c r="K5" s="9">
        <v>1927</v>
      </c>
      <c r="L5" s="9">
        <v>1852</v>
      </c>
      <c r="M5" s="9">
        <v>1887</v>
      </c>
      <c r="N5" s="16"/>
      <c r="O5" s="9">
        <v>1</v>
      </c>
      <c r="P5" s="9">
        <v>1</v>
      </c>
      <c r="Q5" s="9">
        <v>0</v>
      </c>
      <c r="R5" s="18">
        <f t="shared" si="0"/>
        <v>1.3666803334700013E-4</v>
      </c>
    </row>
    <row r="6" spans="1:18" x14ac:dyDescent="0.3">
      <c r="A6" s="7" t="s">
        <v>28</v>
      </c>
      <c r="B6" s="9" t="s">
        <v>15</v>
      </c>
      <c r="C6" s="15">
        <v>0.8841738417384174</v>
      </c>
      <c r="D6" s="15">
        <v>5.6626598265408353E-3</v>
      </c>
      <c r="E6" s="15">
        <v>0.88918633247661216</v>
      </c>
      <c r="F6" s="15">
        <v>5.6456674702689332E-3</v>
      </c>
      <c r="G6" s="16"/>
      <c r="H6" s="8">
        <v>4335</v>
      </c>
      <c r="I6" s="8">
        <v>4322</v>
      </c>
      <c r="J6" s="8">
        <v>4282</v>
      </c>
      <c r="K6" s="8">
        <v>543</v>
      </c>
      <c r="L6" s="8">
        <v>556</v>
      </c>
      <c r="M6" s="8">
        <v>596</v>
      </c>
      <c r="N6" s="16"/>
      <c r="O6" s="8">
        <v>0</v>
      </c>
      <c r="P6" s="8">
        <v>1</v>
      </c>
      <c r="Q6" s="8">
        <v>0</v>
      </c>
      <c r="R6" s="18">
        <f t="shared" si="0"/>
        <v>6.8334016673500064E-5</v>
      </c>
    </row>
    <row r="7" spans="1:18" x14ac:dyDescent="0.3">
      <c r="A7" s="7" t="s">
        <v>28</v>
      </c>
      <c r="B7" s="9" t="s">
        <v>17</v>
      </c>
      <c r="C7" s="14">
        <v>0.89982233155664892</v>
      </c>
      <c r="D7" s="14">
        <v>2.9015817610444621E-3</v>
      </c>
      <c r="E7" s="14">
        <v>0.90242426243029927</v>
      </c>
      <c r="F7" s="14">
        <v>2.6558804790311821E-3</v>
      </c>
      <c r="G7" s="16"/>
      <c r="H7" s="9">
        <v>4398</v>
      </c>
      <c r="I7" s="9">
        <v>4397</v>
      </c>
      <c r="J7" s="9">
        <v>4373</v>
      </c>
      <c r="K7" s="9">
        <v>480</v>
      </c>
      <c r="L7" s="9">
        <v>481</v>
      </c>
      <c r="M7" s="9">
        <v>505</v>
      </c>
      <c r="N7" s="16"/>
      <c r="O7" s="9">
        <v>0</v>
      </c>
      <c r="P7" s="9">
        <v>1</v>
      </c>
      <c r="Q7" s="9">
        <v>0</v>
      </c>
      <c r="R7" s="18">
        <f t="shared" si="0"/>
        <v>6.8334016673500064E-5</v>
      </c>
    </row>
    <row r="8" spans="1:18" x14ac:dyDescent="0.3">
      <c r="A8" s="7" t="s">
        <v>28</v>
      </c>
      <c r="B8" s="9" t="s">
        <v>16</v>
      </c>
      <c r="C8" s="14">
        <v>0.91765750990843198</v>
      </c>
      <c r="D8" s="14">
        <v>4.5717448909874904E-3</v>
      </c>
      <c r="E8" s="14">
        <v>0.91917265019059669</v>
      </c>
      <c r="F8" s="14">
        <v>4.2801340639384714E-3</v>
      </c>
      <c r="G8" s="16"/>
      <c r="H8" s="9">
        <v>4485</v>
      </c>
      <c r="I8" s="9">
        <v>4451</v>
      </c>
      <c r="J8" s="9">
        <v>4493</v>
      </c>
      <c r="K8" s="9">
        <v>393</v>
      </c>
      <c r="L8" s="9">
        <v>427</v>
      </c>
      <c r="M8" s="9">
        <v>385</v>
      </c>
      <c r="N8" s="16"/>
      <c r="O8" s="9">
        <v>0</v>
      </c>
      <c r="P8" s="9">
        <v>1</v>
      </c>
      <c r="Q8" s="9">
        <v>3</v>
      </c>
      <c r="R8" s="18">
        <f t="shared" si="0"/>
        <v>2.7333606669400026E-4</v>
      </c>
    </row>
    <row r="9" spans="1:18" x14ac:dyDescent="0.3">
      <c r="A9" s="7" t="s">
        <v>28</v>
      </c>
      <c r="B9" s="8" t="s">
        <v>24</v>
      </c>
      <c r="C9" s="17">
        <v>0.92333333333333334</v>
      </c>
      <c r="D9" s="17">
        <v>4.0414518843273767E-2</v>
      </c>
      <c r="E9" s="17">
        <v>0.91094441956510919</v>
      </c>
      <c r="F9" s="17">
        <v>4.7338832704819339E-2</v>
      </c>
      <c r="G9" s="8"/>
      <c r="H9" s="8">
        <v>97</v>
      </c>
      <c r="I9" s="8">
        <v>90</v>
      </c>
      <c r="J9" s="8">
        <v>90</v>
      </c>
      <c r="K9" s="8">
        <v>3</v>
      </c>
      <c r="L9" s="8">
        <v>10</v>
      </c>
      <c r="M9" s="8">
        <v>10</v>
      </c>
      <c r="N9" s="16"/>
      <c r="O9" s="8">
        <v>0</v>
      </c>
      <c r="P9" s="8">
        <v>0</v>
      </c>
      <c r="Q9" s="8">
        <v>0</v>
      </c>
      <c r="R9" s="18">
        <f>AVERAGE(O9:Q9)/100</f>
        <v>0</v>
      </c>
    </row>
    <row r="10" spans="1:18" x14ac:dyDescent="0.3">
      <c r="A10" s="7" t="s">
        <v>28</v>
      </c>
      <c r="B10" s="8" t="s">
        <v>23</v>
      </c>
      <c r="C10" s="17">
        <v>0.95</v>
      </c>
      <c r="D10" s="17">
        <v>1.0000000000000011E-2</v>
      </c>
      <c r="E10" s="17">
        <v>0.94296412399860674</v>
      </c>
      <c r="F10" s="17">
        <v>1.136989022274059E-2</v>
      </c>
      <c r="G10" s="8"/>
      <c r="H10" s="8">
        <v>96</v>
      </c>
      <c r="I10" s="8">
        <v>94</v>
      </c>
      <c r="J10" s="8">
        <v>95</v>
      </c>
      <c r="K10" s="8">
        <v>4</v>
      </c>
      <c r="L10" s="8">
        <v>6</v>
      </c>
      <c r="M10" s="8">
        <v>5</v>
      </c>
      <c r="N10" s="16"/>
      <c r="O10" s="8">
        <v>0</v>
      </c>
      <c r="P10" s="8">
        <v>0</v>
      </c>
      <c r="Q10" s="8">
        <v>1</v>
      </c>
      <c r="R10" s="18">
        <f t="shared" ref="R10:R21" si="1">AVERAGE(O10:Q10)/100</f>
        <v>3.3333333333333331E-3</v>
      </c>
    </row>
    <row r="11" spans="1:18" x14ac:dyDescent="0.3">
      <c r="A11" s="7" t="s">
        <v>28</v>
      </c>
      <c r="B11" s="8" t="s">
        <v>22</v>
      </c>
      <c r="C11" s="17">
        <v>0.96333299999999999</v>
      </c>
      <c r="D11" s="17">
        <v>2.5166000000000001E-2</v>
      </c>
      <c r="E11" s="17">
        <v>0.95720799999999995</v>
      </c>
      <c r="F11" s="17">
        <v>3.0055999999999999E-2</v>
      </c>
      <c r="G11" s="8"/>
      <c r="H11" s="8">
        <v>94</v>
      </c>
      <c r="I11" s="8">
        <v>99</v>
      </c>
      <c r="J11" s="8">
        <v>96</v>
      </c>
      <c r="K11" s="8">
        <v>6</v>
      </c>
      <c r="L11" s="8">
        <v>1</v>
      </c>
      <c r="M11" s="8">
        <v>4</v>
      </c>
      <c r="N11" s="16"/>
      <c r="O11" s="8">
        <v>0</v>
      </c>
      <c r="P11" s="8">
        <v>0</v>
      </c>
      <c r="Q11" s="8">
        <v>0</v>
      </c>
      <c r="R11" s="18">
        <f t="shared" si="1"/>
        <v>0</v>
      </c>
    </row>
    <row r="12" spans="1:18" x14ac:dyDescent="0.3">
      <c r="A12" s="3" t="s">
        <v>29</v>
      </c>
      <c r="B12" s="4" t="s">
        <v>21</v>
      </c>
      <c r="C12" s="25">
        <v>0.50772174400000003</v>
      </c>
      <c r="D12" s="25">
        <v>2.2488019999999998E-3</v>
      </c>
      <c r="E12" s="25">
        <v>0.44327043300000002</v>
      </c>
      <c r="F12" s="25">
        <v>3.465531E-3</v>
      </c>
      <c r="G12" s="20"/>
      <c r="H12" s="4">
        <v>2483</v>
      </c>
      <c r="I12" s="4">
        <v>2464</v>
      </c>
      <c r="J12" s="4">
        <v>2483</v>
      </c>
      <c r="K12" s="4">
        <v>2395</v>
      </c>
      <c r="L12" s="4">
        <v>2414</v>
      </c>
      <c r="M12" s="4">
        <v>2395</v>
      </c>
      <c r="N12" s="20"/>
      <c r="O12" s="4">
        <v>238</v>
      </c>
      <c r="P12" s="4">
        <v>255</v>
      </c>
      <c r="Q12" s="4">
        <v>212</v>
      </c>
      <c r="R12" s="6">
        <f>AVERAGE(O12:Q12)/4878</f>
        <v>4.8175481754817548E-2</v>
      </c>
    </row>
    <row r="13" spans="1:18" x14ac:dyDescent="0.3">
      <c r="A13" s="3" t="s">
        <v>29</v>
      </c>
      <c r="B13" s="5" t="s">
        <v>18</v>
      </c>
      <c r="C13" s="25">
        <v>0.91212245455787888</v>
      </c>
      <c r="D13" s="25">
        <v>1.8601418052229669E-3</v>
      </c>
      <c r="E13" s="25">
        <v>0.91224223361694312</v>
      </c>
      <c r="F13" s="25">
        <v>1.8677504959338129E-3</v>
      </c>
      <c r="G13" s="20"/>
      <c r="H13" s="4">
        <v>4441</v>
      </c>
      <c r="I13" s="4">
        <v>4448</v>
      </c>
      <c r="J13" s="4">
        <v>4459</v>
      </c>
      <c r="K13" s="4">
        <v>437</v>
      </c>
      <c r="L13" s="4">
        <v>430</v>
      </c>
      <c r="M13" s="4">
        <v>419</v>
      </c>
      <c r="N13" s="20"/>
      <c r="O13" s="4">
        <v>79</v>
      </c>
      <c r="P13" s="4">
        <v>76</v>
      </c>
      <c r="Q13" s="4">
        <v>82</v>
      </c>
      <c r="R13" s="6">
        <f t="shared" ref="R13:R18" si="2">AVERAGE(O13:Q13)/4878</f>
        <v>1.6195161951619515E-2</v>
      </c>
    </row>
    <row r="14" spans="1:18" x14ac:dyDescent="0.3">
      <c r="A14" s="3" t="s">
        <v>29</v>
      </c>
      <c r="B14" s="5" t="s">
        <v>19</v>
      </c>
      <c r="C14" s="25">
        <v>0.8657919912532458</v>
      </c>
      <c r="D14" s="25">
        <v>8.465699421046113E-3</v>
      </c>
      <c r="E14" s="25">
        <v>0.86047402599161882</v>
      </c>
      <c r="F14" s="25">
        <v>9.2095233660708202E-3</v>
      </c>
      <c r="G14" s="20"/>
      <c r="H14" s="4">
        <v>4252</v>
      </c>
      <c r="I14" s="4">
        <v>4176</v>
      </c>
      <c r="J14" s="4">
        <v>4242</v>
      </c>
      <c r="K14" s="4">
        <v>626</v>
      </c>
      <c r="L14" s="4">
        <v>702</v>
      </c>
      <c r="M14" s="4">
        <v>636</v>
      </c>
      <c r="N14" s="20"/>
      <c r="O14" s="4">
        <v>104</v>
      </c>
      <c r="P14" s="4">
        <v>139</v>
      </c>
      <c r="Q14" s="4">
        <v>121</v>
      </c>
      <c r="R14" s="6">
        <f t="shared" si="2"/>
        <v>2.4873582069154025E-2</v>
      </c>
    </row>
    <row r="15" spans="1:18" x14ac:dyDescent="0.3">
      <c r="A15" s="3" t="s">
        <v>29</v>
      </c>
      <c r="B15" s="5" t="s">
        <v>20</v>
      </c>
      <c r="C15" s="25">
        <v>0.85137351400000005</v>
      </c>
      <c r="D15" s="25">
        <v>8.8436469999999996E-3</v>
      </c>
      <c r="E15" s="25">
        <v>0.84461146499999995</v>
      </c>
      <c r="F15" s="25">
        <v>9.2031270000000002E-3</v>
      </c>
      <c r="G15" s="20"/>
      <c r="H15" s="4">
        <v>4112</v>
      </c>
      <c r="I15" s="4">
        <v>4149</v>
      </c>
      <c r="J15" s="4">
        <v>4198</v>
      </c>
      <c r="K15" s="4">
        <v>766</v>
      </c>
      <c r="L15" s="4">
        <v>729</v>
      </c>
      <c r="M15" s="4">
        <v>680</v>
      </c>
      <c r="N15" s="20"/>
      <c r="O15" s="4">
        <v>125</v>
      </c>
      <c r="P15" s="4">
        <v>134</v>
      </c>
      <c r="Q15" s="4">
        <v>104</v>
      </c>
      <c r="R15" s="6">
        <f t="shared" si="2"/>
        <v>2.4805248052480525E-2</v>
      </c>
    </row>
    <row r="16" spans="1:18" x14ac:dyDescent="0.3">
      <c r="A16" s="3" t="s">
        <v>29</v>
      </c>
      <c r="B16" s="5" t="s">
        <v>15</v>
      </c>
      <c r="C16" s="25">
        <v>0.99788164548312153</v>
      </c>
      <c r="D16" s="25">
        <v>3.1314580394668431E-4</v>
      </c>
      <c r="E16" s="25">
        <v>0.99788008912124215</v>
      </c>
      <c r="F16" s="25">
        <v>3.129263393627194E-4</v>
      </c>
      <c r="G16" s="20"/>
      <c r="H16" s="4">
        <v>4866</v>
      </c>
      <c r="I16" s="4">
        <v>4869</v>
      </c>
      <c r="J16" s="4">
        <v>4868</v>
      </c>
      <c r="K16" s="4">
        <v>12</v>
      </c>
      <c r="L16" s="4">
        <v>9</v>
      </c>
      <c r="M16" s="4">
        <v>10</v>
      </c>
      <c r="N16" s="20"/>
      <c r="O16" s="4">
        <v>1</v>
      </c>
      <c r="P16" s="4">
        <v>0</v>
      </c>
      <c r="Q16" s="4">
        <v>1</v>
      </c>
      <c r="R16" s="6">
        <f t="shared" si="2"/>
        <v>1.3666803334700013E-4</v>
      </c>
    </row>
    <row r="17" spans="1:18" x14ac:dyDescent="0.3">
      <c r="A17" s="3" t="s">
        <v>29</v>
      </c>
      <c r="B17" s="5" t="s">
        <v>17</v>
      </c>
      <c r="C17" s="25">
        <v>0.99781331146644803</v>
      </c>
      <c r="D17" s="25">
        <v>6.2629160789336863E-4</v>
      </c>
      <c r="E17" s="25">
        <v>0.99780814404512586</v>
      </c>
      <c r="F17" s="25">
        <v>6.2813094535919161E-4</v>
      </c>
      <c r="G17" s="20"/>
      <c r="H17" s="4">
        <v>4870</v>
      </c>
      <c r="I17" s="4">
        <v>4864</v>
      </c>
      <c r="J17" s="4">
        <v>4868</v>
      </c>
      <c r="K17" s="4">
        <v>8</v>
      </c>
      <c r="L17" s="4">
        <v>14</v>
      </c>
      <c r="M17" s="4">
        <v>10</v>
      </c>
      <c r="N17" s="20"/>
      <c r="O17" s="4">
        <v>0</v>
      </c>
      <c r="P17" s="4">
        <v>2</v>
      </c>
      <c r="Q17" s="4">
        <v>1</v>
      </c>
      <c r="R17" s="6">
        <f t="shared" si="2"/>
        <v>2.0500205002050019E-4</v>
      </c>
    </row>
    <row r="18" spans="1:18" x14ac:dyDescent="0.3">
      <c r="A18" s="3" t="s">
        <v>29</v>
      </c>
      <c r="B18" s="5" t="s">
        <v>16</v>
      </c>
      <c r="C18" s="25">
        <v>0.99835998400000003</v>
      </c>
      <c r="D18" s="25">
        <v>7.1014799999999996E-4</v>
      </c>
      <c r="E18" s="25">
        <v>0.99835689599999999</v>
      </c>
      <c r="F18" s="25">
        <v>7.1136300000000001E-4</v>
      </c>
      <c r="G18" s="20"/>
      <c r="H18" s="4">
        <v>4868</v>
      </c>
      <c r="I18" s="4">
        <v>4874</v>
      </c>
      <c r="J18" s="4">
        <v>4868</v>
      </c>
      <c r="K18" s="4">
        <v>10</v>
      </c>
      <c r="L18" s="4">
        <v>4</v>
      </c>
      <c r="M18" s="4">
        <v>10</v>
      </c>
      <c r="N18" s="20"/>
      <c r="O18" s="4">
        <v>1</v>
      </c>
      <c r="P18" s="4">
        <v>0</v>
      </c>
      <c r="Q18" s="4">
        <v>1</v>
      </c>
      <c r="R18" s="6">
        <f t="shared" si="2"/>
        <v>1.3666803334700013E-4</v>
      </c>
    </row>
    <row r="19" spans="1:18" x14ac:dyDescent="0.3">
      <c r="A19" s="3" t="s">
        <v>29</v>
      </c>
      <c r="B19" s="4" t="s">
        <v>24</v>
      </c>
      <c r="C19" s="25">
        <v>0.99666666699999995</v>
      </c>
      <c r="D19" s="25">
        <v>5.7735030000000001E-3</v>
      </c>
      <c r="E19" s="25">
        <v>0.99616858200000002</v>
      </c>
      <c r="F19" s="25">
        <v>6.63621E-3</v>
      </c>
      <c r="G19" s="20"/>
      <c r="H19" s="4">
        <v>100</v>
      </c>
      <c r="I19" s="4">
        <v>99</v>
      </c>
      <c r="J19" s="4">
        <v>100</v>
      </c>
      <c r="K19" s="4">
        <v>0</v>
      </c>
      <c r="L19" s="4">
        <v>1</v>
      </c>
      <c r="M19" s="4">
        <v>0</v>
      </c>
      <c r="N19" s="20"/>
      <c r="O19" s="4">
        <v>0</v>
      </c>
      <c r="P19" s="4">
        <v>0</v>
      </c>
      <c r="Q19" s="4">
        <v>0</v>
      </c>
      <c r="R19" s="6">
        <f t="shared" si="1"/>
        <v>0</v>
      </c>
    </row>
    <row r="20" spans="1:18" x14ac:dyDescent="0.3">
      <c r="A20" s="3" t="s">
        <v>29</v>
      </c>
      <c r="B20" s="4" t="s">
        <v>23</v>
      </c>
      <c r="C20" s="25">
        <v>0.98666666700000005</v>
      </c>
      <c r="D20" s="25">
        <v>5.7735030000000001E-3</v>
      </c>
      <c r="E20" s="25">
        <v>0.98458522699999995</v>
      </c>
      <c r="F20" s="25">
        <v>6.7905400000000003E-3</v>
      </c>
      <c r="G20" s="20"/>
      <c r="H20" s="4">
        <v>99</v>
      </c>
      <c r="I20" s="4">
        <v>99</v>
      </c>
      <c r="J20" s="4">
        <v>98</v>
      </c>
      <c r="K20" s="4">
        <v>1</v>
      </c>
      <c r="L20" s="4">
        <v>1</v>
      </c>
      <c r="M20" s="4">
        <v>2</v>
      </c>
      <c r="N20" s="20"/>
      <c r="O20" s="4">
        <v>0</v>
      </c>
      <c r="P20" s="4">
        <v>0</v>
      </c>
      <c r="Q20" s="4">
        <v>0</v>
      </c>
      <c r="R20" s="6">
        <f t="shared" si="1"/>
        <v>0</v>
      </c>
    </row>
    <row r="21" spans="1:18" x14ac:dyDescent="0.3">
      <c r="A21" s="3" t="s">
        <v>29</v>
      </c>
      <c r="B21" s="4" t="s">
        <v>22</v>
      </c>
      <c r="C21" s="25">
        <v>0.99</v>
      </c>
      <c r="D21" s="25">
        <v>0.01</v>
      </c>
      <c r="E21" s="25">
        <v>0.98841664399999996</v>
      </c>
      <c r="F21" s="25">
        <v>1.1628163E-2</v>
      </c>
      <c r="G21" s="20"/>
      <c r="H21" s="4">
        <v>98</v>
      </c>
      <c r="I21" s="4">
        <v>99</v>
      </c>
      <c r="J21" s="4">
        <v>100</v>
      </c>
      <c r="K21" s="4">
        <v>2</v>
      </c>
      <c r="L21" s="4">
        <v>1</v>
      </c>
      <c r="M21" s="4">
        <v>0</v>
      </c>
      <c r="N21" s="20"/>
      <c r="O21" s="4">
        <v>0</v>
      </c>
      <c r="P21" s="4">
        <v>0</v>
      </c>
      <c r="Q21" s="4">
        <v>0</v>
      </c>
      <c r="R21" s="6">
        <f t="shared" si="1"/>
        <v>0</v>
      </c>
    </row>
    <row r="22" spans="1:18" x14ac:dyDescent="0.3">
      <c r="A22" s="10" t="s">
        <v>27</v>
      </c>
      <c r="B22" s="11" t="s">
        <v>21</v>
      </c>
      <c r="C22" s="23">
        <v>0.51400847341806744</v>
      </c>
      <c r="D22" s="23">
        <v>5.1915866921477521E-3</v>
      </c>
      <c r="E22" s="23">
        <v>0.49316103608265138</v>
      </c>
      <c r="F22" s="23">
        <v>2.8052130075316619E-3</v>
      </c>
      <c r="G22" s="24"/>
      <c r="H22" s="24">
        <v>2498</v>
      </c>
      <c r="I22" s="24">
        <v>2488</v>
      </c>
      <c r="J22" s="24">
        <v>2536</v>
      </c>
      <c r="K22" s="24">
        <v>2380</v>
      </c>
      <c r="L22" s="24">
        <v>2390</v>
      </c>
      <c r="M22" s="24">
        <v>2342</v>
      </c>
      <c r="N22" s="21"/>
      <c r="O22" s="24">
        <v>178</v>
      </c>
      <c r="P22" s="24">
        <v>157</v>
      </c>
      <c r="Q22" s="24">
        <v>163</v>
      </c>
      <c r="R22" s="19">
        <f>AVERAGE(O22:Q22)/4878</f>
        <v>3.4030340303403031E-2</v>
      </c>
    </row>
    <row r="23" spans="1:18" x14ac:dyDescent="0.3">
      <c r="A23" s="10" t="s">
        <v>27</v>
      </c>
      <c r="B23" s="12" t="s">
        <v>18</v>
      </c>
      <c r="C23" s="23">
        <v>0.95223452234522343</v>
      </c>
      <c r="D23" s="23">
        <v>2.1304437977476671E-3</v>
      </c>
      <c r="E23" s="23">
        <v>0.95313001854960278</v>
      </c>
      <c r="F23" s="23">
        <v>2.0237135866160239E-3</v>
      </c>
      <c r="G23" s="24"/>
      <c r="H23" s="24">
        <v>4633</v>
      </c>
      <c r="I23" s="24">
        <v>4651</v>
      </c>
      <c r="J23" s="24">
        <v>4651</v>
      </c>
      <c r="K23" s="24">
        <v>245</v>
      </c>
      <c r="L23" s="24">
        <v>227</v>
      </c>
      <c r="M23" s="24">
        <v>227</v>
      </c>
      <c r="N23" s="21"/>
      <c r="O23" s="24">
        <v>36</v>
      </c>
      <c r="P23" s="24">
        <v>26</v>
      </c>
      <c r="Q23" s="24">
        <v>33</v>
      </c>
      <c r="R23" s="19">
        <f>AVERAGE(O23:Q23)/4878</f>
        <v>6.491731583982507E-3</v>
      </c>
    </row>
    <row r="24" spans="1:18" x14ac:dyDescent="0.3">
      <c r="A24" s="10" t="s">
        <v>27</v>
      </c>
      <c r="B24" s="12" t="s">
        <v>19</v>
      </c>
      <c r="C24" s="23">
        <v>0.92913762470958039</v>
      </c>
      <c r="D24" s="23">
        <v>1.743522047584162E-3</v>
      </c>
      <c r="E24" s="23">
        <v>0.9295337690884482</v>
      </c>
      <c r="F24" s="23">
        <v>1.881165243078927E-3</v>
      </c>
      <c r="G24" s="24"/>
      <c r="H24" s="24">
        <v>4532</v>
      </c>
      <c r="I24" s="24">
        <v>4524</v>
      </c>
      <c r="J24" s="24">
        <v>4541</v>
      </c>
      <c r="K24" s="24">
        <v>346</v>
      </c>
      <c r="L24" s="24">
        <v>354</v>
      </c>
      <c r="M24" s="24">
        <v>337</v>
      </c>
      <c r="N24" s="21"/>
      <c r="O24" s="24">
        <v>34</v>
      </c>
      <c r="P24" s="24">
        <v>44</v>
      </c>
      <c r="Q24" s="24">
        <v>56</v>
      </c>
      <c r="R24" s="19">
        <f>AVERAGE(O24:Q24)/4878</f>
        <v>9.1567582342490083E-3</v>
      </c>
    </row>
    <row r="25" spans="1:18" x14ac:dyDescent="0.3">
      <c r="A25" s="10" t="s">
        <v>27</v>
      </c>
      <c r="B25" s="12" t="s">
        <v>20</v>
      </c>
      <c r="C25" s="23">
        <v>0.92230422304223048</v>
      </c>
      <c r="D25" s="23">
        <v>1.787166438516101E-3</v>
      </c>
      <c r="E25" s="23">
        <v>0.92244431603482668</v>
      </c>
      <c r="F25" s="23">
        <v>1.9619726873246158E-3</v>
      </c>
      <c r="G25" s="24"/>
      <c r="H25" s="24">
        <v>4505</v>
      </c>
      <c r="I25" s="24">
        <v>4503</v>
      </c>
      <c r="J25" s="24">
        <v>4489</v>
      </c>
      <c r="K25" s="24">
        <v>373</v>
      </c>
      <c r="L25" s="24">
        <v>375</v>
      </c>
      <c r="M25" s="24">
        <v>389</v>
      </c>
      <c r="N25" s="21"/>
      <c r="O25" s="24">
        <v>64</v>
      </c>
      <c r="P25" s="24">
        <v>52</v>
      </c>
      <c r="Q25" s="24">
        <v>62</v>
      </c>
      <c r="R25" s="19">
        <f>AVERAGE(O25:Q25)/4878</f>
        <v>1.2163454967883012E-2</v>
      </c>
    </row>
    <row r="26" spans="1:18" x14ac:dyDescent="0.3">
      <c r="A26" s="10" t="s">
        <v>27</v>
      </c>
      <c r="B26" s="12" t="s">
        <v>15</v>
      </c>
      <c r="C26" s="23">
        <v>0.99794997949979503</v>
      </c>
      <c r="D26" s="23">
        <v>3.5507396629127802E-4</v>
      </c>
      <c r="E26" s="23">
        <v>0.99794779168915315</v>
      </c>
      <c r="F26" s="23">
        <v>3.5492788432389232E-4</v>
      </c>
      <c r="G26" s="24"/>
      <c r="H26" s="24">
        <v>4869</v>
      </c>
      <c r="I26" s="24">
        <v>4869</v>
      </c>
      <c r="J26" s="24">
        <v>4866</v>
      </c>
      <c r="K26" s="24">
        <v>9</v>
      </c>
      <c r="L26" s="24">
        <v>9</v>
      </c>
      <c r="M26" s="24">
        <v>12</v>
      </c>
      <c r="N26" s="21"/>
      <c r="O26" s="24">
        <v>0</v>
      </c>
      <c r="P26" s="24">
        <v>1</v>
      </c>
      <c r="Q26" s="24">
        <v>0</v>
      </c>
      <c r="R26" s="19">
        <f>AVERAGE(O26:Q26)/4878</f>
        <v>6.8334016673500064E-5</v>
      </c>
    </row>
    <row r="27" spans="1:18" x14ac:dyDescent="0.3">
      <c r="A27" s="10" t="s">
        <v>27</v>
      </c>
      <c r="B27" s="12" t="s">
        <v>17</v>
      </c>
      <c r="C27" s="23">
        <v>0.99822331556648902</v>
      </c>
      <c r="D27" s="23">
        <v>5.1591051218194937E-4</v>
      </c>
      <c r="E27" s="23">
        <v>0.9982200312317997</v>
      </c>
      <c r="F27" s="23">
        <v>5.1641171693631114E-4</v>
      </c>
      <c r="G27" s="24"/>
      <c r="H27" s="24">
        <v>4869</v>
      </c>
      <c r="I27" s="24">
        <v>4867</v>
      </c>
      <c r="J27" s="24">
        <v>4872</v>
      </c>
      <c r="K27" s="24">
        <v>9</v>
      </c>
      <c r="L27" s="24">
        <v>11</v>
      </c>
      <c r="M27" s="24">
        <v>6</v>
      </c>
      <c r="N27" s="21"/>
      <c r="O27" s="24">
        <v>0</v>
      </c>
      <c r="P27" s="24">
        <v>0</v>
      </c>
      <c r="Q27" s="24">
        <v>0</v>
      </c>
      <c r="R27" s="19">
        <f>AVERAGE(O27:Q27)/4878</f>
        <v>0</v>
      </c>
    </row>
    <row r="28" spans="1:18" x14ac:dyDescent="0.3">
      <c r="A28" s="10" t="s">
        <v>27</v>
      </c>
      <c r="B28" s="12" t="s">
        <v>16</v>
      </c>
      <c r="C28" s="23">
        <v>0.99842831761650952</v>
      </c>
      <c r="D28" s="23">
        <v>6.5898939189509528E-4</v>
      </c>
      <c r="E28" s="23">
        <v>0.99842566519779707</v>
      </c>
      <c r="F28" s="23">
        <v>6.59459844255884E-4</v>
      </c>
      <c r="G28" s="24"/>
      <c r="H28" s="24">
        <v>4874</v>
      </c>
      <c r="I28" s="24">
        <v>4869</v>
      </c>
      <c r="J28" s="24">
        <v>4868</v>
      </c>
      <c r="K28" s="24">
        <v>4</v>
      </c>
      <c r="L28" s="24">
        <v>9</v>
      </c>
      <c r="M28" s="24">
        <v>10</v>
      </c>
      <c r="N28" s="21"/>
      <c r="O28" s="24">
        <v>0</v>
      </c>
      <c r="P28" s="24">
        <v>1</v>
      </c>
      <c r="Q28" s="24">
        <v>0</v>
      </c>
      <c r="R28" s="19">
        <f>AVERAGE(O28:Q28)/4878</f>
        <v>6.8334016673500064E-5</v>
      </c>
    </row>
    <row r="29" spans="1:18" x14ac:dyDescent="0.3">
      <c r="A29" s="10" t="s">
        <v>27</v>
      </c>
      <c r="B29" s="11" t="s">
        <v>24</v>
      </c>
      <c r="C29" s="23">
        <v>1</v>
      </c>
      <c r="D29" s="23">
        <v>0</v>
      </c>
      <c r="E29" s="23">
        <v>1</v>
      </c>
      <c r="F29" s="23">
        <v>0</v>
      </c>
      <c r="G29" s="24"/>
      <c r="H29" s="24">
        <v>100</v>
      </c>
      <c r="I29" s="24">
        <v>100</v>
      </c>
      <c r="J29" s="24">
        <v>100</v>
      </c>
      <c r="K29" s="24">
        <v>0</v>
      </c>
      <c r="L29" s="24">
        <v>0</v>
      </c>
      <c r="M29" s="24">
        <v>0</v>
      </c>
      <c r="N29" s="21"/>
      <c r="O29" s="24">
        <v>0</v>
      </c>
      <c r="P29" s="24">
        <v>0</v>
      </c>
      <c r="Q29" s="24">
        <v>0</v>
      </c>
      <c r="R29" s="19">
        <f>AVERAGE(O29:Q29)/100</f>
        <v>0</v>
      </c>
    </row>
    <row r="30" spans="1:18" x14ac:dyDescent="0.3">
      <c r="A30" s="10" t="s">
        <v>27</v>
      </c>
      <c r="B30" s="11" t="s">
        <v>23</v>
      </c>
      <c r="C30" s="23">
        <v>0.99</v>
      </c>
      <c r="D30" s="23">
        <v>0</v>
      </c>
      <c r="E30" s="23">
        <v>0.9885057471264368</v>
      </c>
      <c r="F30" s="23">
        <v>0</v>
      </c>
      <c r="G30" s="24"/>
      <c r="H30" s="24">
        <v>99</v>
      </c>
      <c r="I30" s="24">
        <v>99</v>
      </c>
      <c r="J30" s="24">
        <v>99</v>
      </c>
      <c r="K30" s="24">
        <v>1</v>
      </c>
      <c r="L30" s="24">
        <v>1</v>
      </c>
      <c r="M30" s="24">
        <v>1</v>
      </c>
      <c r="N30" s="21"/>
      <c r="O30" s="24">
        <v>0</v>
      </c>
      <c r="P30" s="24">
        <v>0</v>
      </c>
      <c r="Q30" s="24">
        <v>0</v>
      </c>
      <c r="R30" s="19">
        <f t="shared" ref="R30:R31" si="3">AVERAGE(O30:Q30)/100</f>
        <v>0</v>
      </c>
    </row>
    <row r="31" spans="1:18" x14ac:dyDescent="0.3">
      <c r="A31" s="10" t="s">
        <v>27</v>
      </c>
      <c r="B31" s="11" t="s">
        <v>22</v>
      </c>
      <c r="C31" s="23">
        <v>0.99333333333333329</v>
      </c>
      <c r="D31" s="23">
        <v>5.7735026918962632E-3</v>
      </c>
      <c r="E31" s="23">
        <v>0.9923371647509579</v>
      </c>
      <c r="F31" s="23">
        <v>6.6362099906853459E-3</v>
      </c>
      <c r="G31" s="24"/>
      <c r="H31" s="24">
        <v>99</v>
      </c>
      <c r="I31" s="24">
        <v>99</v>
      </c>
      <c r="J31" s="24">
        <v>100</v>
      </c>
      <c r="K31" s="24">
        <v>1</v>
      </c>
      <c r="L31" s="24">
        <v>1</v>
      </c>
      <c r="M31" s="24">
        <v>0</v>
      </c>
      <c r="N31" s="21"/>
      <c r="O31" s="24">
        <v>0</v>
      </c>
      <c r="P31" s="24">
        <v>0</v>
      </c>
      <c r="Q31" s="24">
        <v>0</v>
      </c>
      <c r="R31" s="19">
        <f t="shared" si="3"/>
        <v>0</v>
      </c>
    </row>
    <row r="39" spans="1:18" x14ac:dyDescent="0.3">
      <c r="B39" s="22"/>
    </row>
    <row r="42" spans="1:18" x14ac:dyDescent="0.3">
      <c r="A42" s="26" t="s">
        <v>25</v>
      </c>
      <c r="B42" s="27" t="s">
        <v>21</v>
      </c>
      <c r="C42" s="28">
        <v>0.50505671723383894</v>
      </c>
      <c r="D42" s="28">
        <v>6.6942926885477641E-3</v>
      </c>
      <c r="E42" s="28">
        <v>0.4334698366828923</v>
      </c>
      <c r="F42" s="28">
        <v>8.3271081394245688E-3</v>
      </c>
      <c r="G42" s="28"/>
      <c r="H42" s="27">
        <v>2484</v>
      </c>
      <c r="I42" s="27">
        <v>2426</v>
      </c>
      <c r="J42" s="27">
        <v>2481</v>
      </c>
      <c r="K42" s="27">
        <v>2394</v>
      </c>
      <c r="L42" s="27">
        <v>2452</v>
      </c>
      <c r="M42" s="27">
        <v>2397</v>
      </c>
      <c r="N42" s="29"/>
      <c r="O42" s="27">
        <v>3</v>
      </c>
      <c r="P42" s="27">
        <v>9</v>
      </c>
      <c r="Q42" s="27">
        <v>9</v>
      </c>
      <c r="R42" s="30">
        <f>AVERAGE(O42:Q42)/4878</f>
        <v>1.4350143501435015E-3</v>
      </c>
    </row>
    <row r="43" spans="1:18" x14ac:dyDescent="0.3">
      <c r="A43" s="26" t="s">
        <v>25</v>
      </c>
      <c r="B43" s="31" t="s">
        <v>18</v>
      </c>
      <c r="C43" s="28">
        <v>0.50061500615006149</v>
      </c>
      <c r="D43" s="28">
        <v>7.3914540292413706E-4</v>
      </c>
      <c r="E43" s="28">
        <v>0.60122211749517196</v>
      </c>
      <c r="F43" s="28">
        <v>2.9606746648690071E-4</v>
      </c>
      <c r="G43" s="28"/>
      <c r="H43" s="27">
        <v>2445</v>
      </c>
      <c r="I43" s="27">
        <v>2438</v>
      </c>
      <c r="J43" s="27">
        <v>2443</v>
      </c>
      <c r="K43" s="27">
        <v>2433</v>
      </c>
      <c r="L43" s="27">
        <v>2440</v>
      </c>
      <c r="M43" s="27">
        <v>2435</v>
      </c>
      <c r="N43" s="29"/>
      <c r="O43" s="27">
        <v>4</v>
      </c>
      <c r="P43" s="27">
        <v>4</v>
      </c>
      <c r="Q43" s="27">
        <v>2</v>
      </c>
      <c r="R43" s="30">
        <f>AVERAGE(O43:Q43)/4878</f>
        <v>6.8334016673500075E-4</v>
      </c>
    </row>
    <row r="44" spans="1:18" x14ac:dyDescent="0.3">
      <c r="A44" s="26" t="s">
        <v>25</v>
      </c>
      <c r="B44" s="31" t="s">
        <v>19</v>
      </c>
      <c r="C44" s="28">
        <v>0.50984009840098399</v>
      </c>
      <c r="D44" s="28">
        <v>2.1695377704506399E-3</v>
      </c>
      <c r="E44" s="28">
        <v>0.57842183136499792</v>
      </c>
      <c r="F44" s="28">
        <v>2.8964055618430008E-3</v>
      </c>
      <c r="G44" s="28"/>
      <c r="H44" s="27">
        <v>2495</v>
      </c>
      <c r="I44" s="27">
        <v>2475</v>
      </c>
      <c r="J44" s="27">
        <v>2491</v>
      </c>
      <c r="K44" s="27">
        <v>2383</v>
      </c>
      <c r="L44" s="27">
        <v>2403</v>
      </c>
      <c r="M44" s="27">
        <v>2387</v>
      </c>
      <c r="N44" s="29"/>
      <c r="O44" s="27">
        <v>3</v>
      </c>
      <c r="P44" s="27">
        <v>6</v>
      </c>
      <c r="Q44" s="27">
        <v>2</v>
      </c>
      <c r="R44" s="30">
        <f>AVERAGE(O44:Q44)/4878</f>
        <v>7.5167418340850076E-4</v>
      </c>
    </row>
    <row r="45" spans="1:18" x14ac:dyDescent="0.3">
      <c r="A45" s="26" t="s">
        <v>25</v>
      </c>
      <c r="B45" s="31" t="s">
        <v>20</v>
      </c>
      <c r="C45" s="28">
        <v>0.50539838699999995</v>
      </c>
      <c r="D45" s="28">
        <v>7.9193790000000007E-3</v>
      </c>
      <c r="E45" s="28">
        <v>0.58867223300000004</v>
      </c>
      <c r="F45" s="28">
        <v>4.3293189999999999E-3</v>
      </c>
      <c r="G45" s="28"/>
      <c r="H45" s="27">
        <v>2502</v>
      </c>
      <c r="I45" s="27">
        <v>2425</v>
      </c>
      <c r="J45" s="27">
        <v>2469</v>
      </c>
      <c r="K45" s="27">
        <v>2376</v>
      </c>
      <c r="L45" s="27">
        <v>2453</v>
      </c>
      <c r="M45" s="27">
        <v>2409</v>
      </c>
      <c r="N45" s="29"/>
      <c r="O45" s="27">
        <v>6</v>
      </c>
      <c r="P45" s="27">
        <v>5</v>
      </c>
      <c r="Q45" s="27">
        <v>2</v>
      </c>
      <c r="R45" s="30">
        <f>AVERAGE(O45:Q45)/4878</f>
        <v>8.8834221675550078E-4</v>
      </c>
    </row>
    <row r="46" spans="1:18" x14ac:dyDescent="0.3">
      <c r="A46" s="26" t="s">
        <v>25</v>
      </c>
      <c r="B46" s="31" t="s">
        <v>15</v>
      </c>
      <c r="C46" s="28">
        <v>0.540112068</v>
      </c>
      <c r="D46" s="28">
        <v>6.8617019999999999E-3</v>
      </c>
      <c r="E46" s="28">
        <v>0.60154494599999997</v>
      </c>
      <c r="F46" s="28">
        <v>4.0854710000000002E-3</v>
      </c>
      <c r="G46" s="28"/>
      <c r="H46" s="27">
        <v>2661</v>
      </c>
      <c r="I46" s="27">
        <v>2597</v>
      </c>
      <c r="J46" s="27">
        <v>2646</v>
      </c>
      <c r="K46" s="27">
        <v>2217</v>
      </c>
      <c r="L46" s="27">
        <v>2281</v>
      </c>
      <c r="M46" s="27">
        <v>2232</v>
      </c>
      <c r="N46" s="29"/>
      <c r="O46" s="27">
        <v>7</v>
      </c>
      <c r="P46" s="27">
        <v>3</v>
      </c>
      <c r="Q46" s="27">
        <v>4</v>
      </c>
      <c r="R46" s="30">
        <f>AVERAGE(O46:Q46)/4878</f>
        <v>9.5667623342900101E-4</v>
      </c>
    </row>
    <row r="47" spans="1:18" x14ac:dyDescent="0.3">
      <c r="A47" s="26" t="s">
        <v>25</v>
      </c>
      <c r="B47" s="31" t="s">
        <v>17</v>
      </c>
      <c r="C47" s="28">
        <v>0.50840508405084051</v>
      </c>
      <c r="D47" s="28">
        <v>7.6347783720935357E-3</v>
      </c>
      <c r="E47" s="28">
        <v>0.50859372912532019</v>
      </c>
      <c r="F47" s="28">
        <v>8.6615013581022495E-3</v>
      </c>
      <c r="G47" s="28"/>
      <c r="H47" s="27">
        <v>2501</v>
      </c>
      <c r="I47" s="27">
        <v>2502</v>
      </c>
      <c r="J47" s="27">
        <v>2437</v>
      </c>
      <c r="K47" s="27">
        <v>2377</v>
      </c>
      <c r="L47" s="27">
        <v>2376</v>
      </c>
      <c r="M47" s="27">
        <v>2441</v>
      </c>
      <c r="N47" s="29"/>
      <c r="O47" s="27">
        <v>12</v>
      </c>
      <c r="P47" s="27">
        <v>6</v>
      </c>
      <c r="Q47" s="27">
        <v>6</v>
      </c>
      <c r="R47" s="30">
        <f>AVERAGE(O47:Q47)/4878</f>
        <v>1.6400164001640015E-3</v>
      </c>
    </row>
    <row r="48" spans="1:18" x14ac:dyDescent="0.3">
      <c r="A48" s="26" t="s">
        <v>25</v>
      </c>
      <c r="B48" s="31" t="s">
        <v>16</v>
      </c>
      <c r="C48" s="28">
        <v>0.51359846899999995</v>
      </c>
      <c r="D48" s="28">
        <v>5.7595479999999998E-3</v>
      </c>
      <c r="E48" s="28">
        <v>0.37470842700000001</v>
      </c>
      <c r="F48" s="28">
        <v>9.7275090000000005E-3</v>
      </c>
      <c r="G48" s="28"/>
      <c r="H48" s="27">
        <v>2508</v>
      </c>
      <c r="I48" s="27">
        <v>2532</v>
      </c>
      <c r="J48" s="27">
        <v>2476</v>
      </c>
      <c r="K48" s="27">
        <v>2370</v>
      </c>
      <c r="L48" s="27">
        <v>2346</v>
      </c>
      <c r="M48" s="27">
        <v>2402</v>
      </c>
      <c r="N48" s="29"/>
      <c r="O48" s="27">
        <v>6</v>
      </c>
      <c r="P48" s="27">
        <v>11</v>
      </c>
      <c r="Q48" s="27">
        <v>14</v>
      </c>
      <c r="R48" s="30">
        <f>AVERAGE(O48:Q48)/4878</f>
        <v>2.118354516878502E-3</v>
      </c>
    </row>
    <row r="49" spans="1:18" x14ac:dyDescent="0.3">
      <c r="A49" s="26" t="s">
        <v>25</v>
      </c>
      <c r="B49" s="27" t="s">
        <v>24</v>
      </c>
      <c r="C49" s="28">
        <v>0.6</v>
      </c>
      <c r="D49" s="28">
        <v>7.9372539331937678E-2</v>
      </c>
      <c r="E49" s="28">
        <v>0.50077184316146961</v>
      </c>
      <c r="F49" s="28">
        <v>9.2886313940835505E-2</v>
      </c>
      <c r="G49" s="28"/>
      <c r="H49" s="27">
        <v>57</v>
      </c>
      <c r="I49" s="27">
        <v>69</v>
      </c>
      <c r="J49" s="27">
        <v>54</v>
      </c>
      <c r="K49" s="27">
        <v>43</v>
      </c>
      <c r="L49" s="27">
        <v>31</v>
      </c>
      <c r="M49" s="27">
        <v>46</v>
      </c>
      <c r="N49" s="29"/>
      <c r="O49" s="27">
        <v>0</v>
      </c>
      <c r="P49" s="27">
        <v>0</v>
      </c>
      <c r="Q49" s="27">
        <v>0</v>
      </c>
      <c r="R49" s="30">
        <f>AVERAGE(O49:Q49)/100</f>
        <v>0</v>
      </c>
    </row>
    <row r="50" spans="1:18" x14ac:dyDescent="0.3">
      <c r="A50" s="26" t="s">
        <v>25</v>
      </c>
      <c r="B50" s="27" t="s">
        <v>23</v>
      </c>
      <c r="C50" s="28">
        <v>0.56000000000000005</v>
      </c>
      <c r="D50" s="28">
        <v>4.3588989435406712E-2</v>
      </c>
      <c r="E50" s="28">
        <v>0.37721511793123053</v>
      </c>
      <c r="F50" s="28">
        <v>5.5728086685147657E-2</v>
      </c>
      <c r="G50" s="28"/>
      <c r="H50" s="27">
        <v>54</v>
      </c>
      <c r="I50" s="27">
        <v>61</v>
      </c>
      <c r="J50" s="27">
        <v>53</v>
      </c>
      <c r="K50" s="27">
        <v>46</v>
      </c>
      <c r="L50" s="27">
        <v>39</v>
      </c>
      <c r="M50" s="27">
        <v>47</v>
      </c>
      <c r="N50" s="29"/>
      <c r="O50" s="27">
        <v>0</v>
      </c>
      <c r="P50" s="27">
        <v>0</v>
      </c>
      <c r="Q50" s="27">
        <v>1</v>
      </c>
      <c r="R50" s="30">
        <f t="shared" ref="R50:R51" si="4">AVERAGE(O50:Q50)/100</f>
        <v>3.3333333333333331E-3</v>
      </c>
    </row>
    <row r="51" spans="1:18" x14ac:dyDescent="0.3">
      <c r="A51" s="26" t="s">
        <v>25</v>
      </c>
      <c r="B51" s="27" t="s">
        <v>22</v>
      </c>
      <c r="C51" s="28">
        <v>0.54666666666666663</v>
      </c>
      <c r="D51" s="28">
        <v>6.350852961085883E-2</v>
      </c>
      <c r="E51" s="28">
        <v>0.19162624360364469</v>
      </c>
      <c r="F51" s="28">
        <v>9.5545400524347388E-2</v>
      </c>
      <c r="G51" s="28"/>
      <c r="H51" s="27">
        <v>51</v>
      </c>
      <c r="I51" s="27">
        <v>62</v>
      </c>
      <c r="J51" s="27">
        <v>51</v>
      </c>
      <c r="K51" s="27">
        <v>49</v>
      </c>
      <c r="L51" s="27">
        <v>38</v>
      </c>
      <c r="M51" s="27">
        <v>49</v>
      </c>
      <c r="N51" s="29"/>
      <c r="O51" s="27">
        <v>2</v>
      </c>
      <c r="P51" s="27">
        <v>1</v>
      </c>
      <c r="Q51" s="27">
        <v>1</v>
      </c>
      <c r="R51" s="30">
        <f t="shared" si="4"/>
        <v>1.3333333333333332E-2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Gamal Abdelbaky</dc:creator>
  <cp:lastModifiedBy>Gamal Abdelbaky</cp:lastModifiedBy>
  <dcterms:created xsi:type="dcterms:W3CDTF">2026-04-18T19:13:06Z</dcterms:created>
  <dcterms:modified xsi:type="dcterms:W3CDTF">2026-06-22T17:50:31Z</dcterms:modified>
</cp:coreProperties>
</file>